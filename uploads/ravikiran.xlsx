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ademytraining\Document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6" i="1" l="1"/>
  <c r="D30" i="1"/>
  <c r="D29" i="1"/>
  <c r="D28" i="1"/>
  <c r="D27" i="1"/>
  <c r="D26" i="1"/>
  <c r="D25" i="1"/>
  <c r="M11" i="1"/>
  <c r="D24" i="1"/>
  <c r="D23" i="1"/>
  <c r="L19" i="1"/>
  <c r="L18" i="1"/>
  <c r="L17" i="1"/>
  <c r="L16" i="1"/>
  <c r="L15" i="1"/>
  <c r="L14" i="1"/>
  <c r="L13" i="1"/>
  <c r="O11" i="1"/>
  <c r="N11" i="1"/>
  <c r="G6" i="1"/>
  <c r="G5" i="1"/>
  <c r="G4" i="1"/>
  <c r="G3" i="1"/>
  <c r="G2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<sst xmlns="http://schemas.openxmlformats.org/spreadsheetml/2006/main" count="60" uniqueCount="54">
  <si>
    <t>Number</t>
  </si>
  <si>
    <t>Name</t>
  </si>
  <si>
    <t>Mark-1</t>
  </si>
  <si>
    <t>Mark-2</t>
  </si>
  <si>
    <t>Mark-3</t>
  </si>
  <si>
    <t>Total</t>
  </si>
  <si>
    <t>Average</t>
  </si>
  <si>
    <t>Arun</t>
  </si>
  <si>
    <t>Kiran</t>
  </si>
  <si>
    <t>Nathan</t>
  </si>
  <si>
    <t>Ravi</t>
  </si>
  <si>
    <t>Tamil</t>
  </si>
  <si>
    <t>Movie Tittle</t>
  </si>
  <si>
    <t>miss jerry</t>
  </si>
  <si>
    <t>the story of the kelly gang</t>
  </si>
  <si>
    <t>cleopatra</t>
  </si>
  <si>
    <t>den sorted dr A m</t>
  </si>
  <si>
    <t>intepententa romaniei</t>
  </si>
  <si>
    <t>language</t>
  </si>
  <si>
    <t>german</t>
  </si>
  <si>
    <t>french</t>
  </si>
  <si>
    <t>english</t>
  </si>
  <si>
    <t>spanish</t>
  </si>
  <si>
    <t>italian</t>
  </si>
  <si>
    <t>madame dubarry</t>
  </si>
  <si>
    <t>quo vadis</t>
  </si>
  <si>
    <t>richard III</t>
  </si>
  <si>
    <t>atlantis</t>
  </si>
  <si>
    <t>danish</t>
  </si>
  <si>
    <t>Le mort qui tue</t>
  </si>
  <si>
    <t>Find the Total number Movie</t>
  </si>
  <si>
    <t>English</t>
  </si>
  <si>
    <t>French</t>
  </si>
  <si>
    <t>Italian</t>
  </si>
  <si>
    <t>COUNTIF</t>
  </si>
  <si>
    <t>LENGTH</t>
  </si>
  <si>
    <t xml:space="preserve">First Name </t>
  </si>
  <si>
    <t>Last Name</t>
  </si>
  <si>
    <t>Full Name</t>
  </si>
  <si>
    <t>ravi</t>
  </si>
  <si>
    <t>kiran</t>
  </si>
  <si>
    <t>pavithra</t>
  </si>
  <si>
    <t>karthi</t>
  </si>
  <si>
    <t>deva</t>
  </si>
  <si>
    <t>raj</t>
  </si>
  <si>
    <t>dharshini</t>
  </si>
  <si>
    <t>prithivi</t>
  </si>
  <si>
    <t>naveen</t>
  </si>
  <si>
    <t>kumar</t>
  </si>
  <si>
    <t>inba</t>
  </si>
  <si>
    <t>tamilan</t>
  </si>
  <si>
    <t>muthu</t>
  </si>
  <si>
    <t>selvan</t>
  </si>
  <si>
    <t>CONCATENATE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</si>
</sst>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I32" sqref="I32"/>
    </sheetView>
  </sheetViews>
  <sheetFormatPr defaultRowHeight="14.5" x14ac:dyDescent="0.35"/>
  <cols>
    <col min="1" max="1" width="10.26953125" customWidth="1"/>
    <col min="2" max="2" width="13.08984375" customWidth="1"/>
    <col min="4" max="4" width="12.36328125" customWidth="1"/>
    <col min="9" max="9" width="36.54296875" customWidth="1"/>
    <col min="12" max="12" width="29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L1" s="3"/>
    </row>
    <row r="2" spans="1:15" x14ac:dyDescent="0.35">
      <c r="A2">
        <v>115</v>
      </c>
      <c r="B2" t="s">
        <v>7</v>
      </c>
      <c r="C2">
        <v>33</v>
      </c>
      <c r="D2">
        <v>55</v>
      </c>
      <c r="E2">
        <v>68</v>
      </c>
      <c r="F2">
        <f>SUM(C2:E2)</f>
        <v>156</v>
      </c>
      <c r="G2">
        <f>SUM(F2/3)</f>
        <v>52</v>
      </c>
    </row>
    <row r="3" spans="1:15" x14ac:dyDescent="0.35">
      <c r="A3">
        <v>117</v>
      </c>
      <c r="B3" t="s">
        <v>8</v>
      </c>
      <c r="C3">
        <v>46</v>
      </c>
      <c r="D3">
        <v>98</v>
      </c>
      <c r="E3">
        <v>46</v>
      </c>
      <c r="F3">
        <f>SUM(C3:E3)</f>
        <v>190</v>
      </c>
      <c r="G3">
        <f>SUM(F3/3)</f>
        <v>63.333333333333336</v>
      </c>
    </row>
    <row r="4" spans="1:15" x14ac:dyDescent="0.35">
      <c r="A4">
        <v>116</v>
      </c>
      <c r="B4" t="s">
        <v>9</v>
      </c>
      <c r="C4">
        <v>56</v>
      </c>
      <c r="D4">
        <v>78</v>
      </c>
      <c r="E4">
        <v>45</v>
      </c>
      <c r="F4">
        <f>SUM(C4:E4)</f>
        <v>179</v>
      </c>
      <c r="G4">
        <f>SUM(F4/3)</f>
        <v>59.666666666666664</v>
      </c>
    </row>
    <row r="5" spans="1:15" x14ac:dyDescent="0.35">
      <c r="A5">
        <v>114</v>
      </c>
      <c r="B5" t="s">
        <v>10</v>
      </c>
      <c r="C5">
        <v>82</v>
      </c>
      <c r="D5">
        <v>63</v>
      </c>
      <c r="E5">
        <v>65</v>
      </c>
      <c r="F5">
        <f>SUM(C5:E5)</f>
        <v>210</v>
      </c>
      <c r="G5">
        <f>SUM(F5/3)</f>
        <v>70</v>
      </c>
    </row>
    <row r="6" spans="1:15" x14ac:dyDescent="0.35">
      <c r="A6">
        <v>118</v>
      </c>
      <c r="B6" t="s">
        <v>11</v>
      </c>
      <c r="C6">
        <v>45</v>
      </c>
      <c r="D6">
        <v>78</v>
      </c>
      <c r="E6">
        <v>66</v>
      </c>
      <c r="F6">
        <f>SUM(C6:E6)</f>
        <v>189</v>
      </c>
      <c r="G6">
        <f>SUM(F6/3)</f>
        <v>63</v>
      </c>
    </row>
    <row r="7" spans="1:15" x14ac:dyDescent="0.35">
      <c r="J7" s="2" t="s">
        <v>34</v>
      </c>
    </row>
    <row r="9" spans="1:15" x14ac:dyDescent="0.35">
      <c r="I9" t="s">
        <v>12</v>
      </c>
      <c r="J9" t="s">
        <v>18</v>
      </c>
    </row>
    <row r="10" spans="1:15" x14ac:dyDescent="0.35">
      <c r="I10" t="s">
        <v>13</v>
      </c>
      <c r="J10" t="s">
        <v>19</v>
      </c>
      <c r="K10" s="3"/>
      <c r="L10" s="1" t="s">
        <v>30</v>
      </c>
      <c r="M10" s="1" t="s">
        <v>31</v>
      </c>
      <c r="N10" s="1" t="s">
        <v>32</v>
      </c>
      <c r="O10" s="1" t="s">
        <v>33</v>
      </c>
    </row>
    <row r="11" spans="1:15" x14ac:dyDescent="0.35">
      <c r="I11" t="s">
        <v>14</v>
      </c>
      <c r="J11" t="s">
        <v>20</v>
      </c>
      <c r="M11">
        <f>COUNTIF(J10:J19,"ENGLISH")</f>
        <v>2</v>
      </c>
      <c r="N11">
        <f>COUNTIF(J10:J19,"FRENCH")</f>
        <v>2</v>
      </c>
      <c r="O11">
        <f>COUNTIF(J10:J19,"ITALIAN")</f>
        <v>2</v>
      </c>
    </row>
    <row r="12" spans="1:15" x14ac:dyDescent="0.35">
      <c r="I12" t="s">
        <v>15</v>
      </c>
      <c r="J12" t="s">
        <v>21</v>
      </c>
      <c r="L12" s="2" t="s">
        <v>35</v>
      </c>
    </row>
    <row r="13" spans="1:15" x14ac:dyDescent="0.35">
      <c r="I13" t="s">
        <v>16</v>
      </c>
      <c r="J13" t="s">
        <v>22</v>
      </c>
      <c r="L13">
        <f>LEN(J13)</f>
        <v>7</v>
      </c>
    </row>
    <row r="14" spans="1:15" x14ac:dyDescent="0.35">
      <c r="I14" t="s">
        <v>17</v>
      </c>
      <c r="J14" t="s">
        <v>23</v>
      </c>
      <c r="L14">
        <f>LEN(J14)</f>
        <v>7</v>
      </c>
    </row>
    <row r="15" spans="1:15" x14ac:dyDescent="0.35">
      <c r="I15" t="s">
        <v>24</v>
      </c>
      <c r="J15" t="s">
        <v>19</v>
      </c>
      <c r="L15">
        <f>LEN(J15)</f>
        <v>6</v>
      </c>
    </row>
    <row r="16" spans="1:15" x14ac:dyDescent="0.35">
      <c r="I16" t="s">
        <v>25</v>
      </c>
      <c r="J16" t="s">
        <v>23</v>
      </c>
      <c r="L16">
        <f>LEN(J16)</f>
        <v>7</v>
      </c>
    </row>
    <row r="17" spans="1:12" x14ac:dyDescent="0.35">
      <c r="I17" t="s">
        <v>26</v>
      </c>
      <c r="J17" t="s">
        <v>21</v>
      </c>
      <c r="L17">
        <f>LEN(J17)</f>
        <v>7</v>
      </c>
    </row>
    <row r="18" spans="1:12" x14ac:dyDescent="0.35">
      <c r="I18" t="s">
        <v>27</v>
      </c>
      <c r="J18" t="s">
        <v>28</v>
      </c>
      <c r="L18">
        <f>LEN(J18)</f>
        <v>6</v>
      </c>
    </row>
    <row r="19" spans="1:12" x14ac:dyDescent="0.35">
      <c r="I19" t="s">
        <v>29</v>
      </c>
      <c r="J19" t="s">
        <v>20</v>
      </c>
      <c r="L19">
        <f>LEN(J19)</f>
        <v>6</v>
      </c>
    </row>
    <row r="20" spans="1:12" x14ac:dyDescent="0.35">
      <c r="B20" s="2" t="s">
        <v>53</v>
      </c>
    </row>
    <row r="22" spans="1:12" x14ac:dyDescent="0.35">
      <c r="A22" t="s">
        <v>36</v>
      </c>
      <c r="B22" t="s">
        <v>37</v>
      </c>
      <c r="D22" t="s">
        <v>38</v>
      </c>
    </row>
    <row r="23" spans="1:12" x14ac:dyDescent="0.35">
      <c r="A23" t="s">
        <v>39</v>
      </c>
      <c r="B23" t="s">
        <v>40</v>
      </c>
      <c r="D23" t="str">
        <f>CONCATENATE(A23,B23)</f>
        <v>ravikiran</v>
      </c>
    </row>
    <row r="24" spans="1:12" x14ac:dyDescent="0.35">
      <c r="A24" t="s">
        <v>41</v>
      </c>
      <c r="B24" t="s">
        <v>42</v>
      </c>
      <c r="D24" t="str">
        <f>CONCATENATE(A24,B24)</f>
        <v>pavithrakarthi</v>
      </c>
    </row>
    <row r="25" spans="1:12" x14ac:dyDescent="0.35">
      <c r="A25" t="s">
        <v>43</v>
      </c>
      <c r="B25" t="s">
        <v>44</v>
      </c>
      <c r="D25" t="str">
        <f>CONCATENATE(A25,B25)</f>
        <v>devaraj</v>
      </c>
    </row>
    <row r="26" spans="1:12" x14ac:dyDescent="0.35">
      <c r="A26" t="s">
        <v>43</v>
      </c>
      <c r="B26" t="s">
        <v>45</v>
      </c>
      <c r="D26" t="str">
        <f>CONCATENATE(A26,B26)</f>
        <v>devadharshini</v>
      </c>
    </row>
    <row r="27" spans="1:12" x14ac:dyDescent="0.35">
      <c r="A27" t="s">
        <v>46</v>
      </c>
      <c r="B27" t="s">
        <v>44</v>
      </c>
      <c r="D27" t="str">
        <f>CONCATENATE(A27,B27)</f>
        <v>prithiviraj</v>
      </c>
    </row>
    <row r="28" spans="1:12" x14ac:dyDescent="0.35">
      <c r="A28" t="s">
        <v>47</v>
      </c>
      <c r="B28" t="s">
        <v>48</v>
      </c>
      <c r="D28" t="str">
        <f>CONCATENATE(A28,B28)</f>
        <v>naveenkumar</v>
      </c>
    </row>
    <row r="29" spans="1:12" x14ac:dyDescent="0.35">
      <c r="A29" t="s">
        <v>49</v>
      </c>
      <c r="B29" t="s">
        <v>50</v>
      </c>
      <c r="D29" t="str">
        <f>CONCATENATE(A29,B29)</f>
        <v>inbatamilan</v>
      </c>
    </row>
    <row r="30" spans="1:12" x14ac:dyDescent="0.35">
      <c r="A30" t="s">
        <v>51</v>
      </c>
      <c r="B30" t="s">
        <v>52</v>
      </c>
      <c r="D30" t="str">
        <f>CONCATENATE(A30,B30)</f>
        <v>muthuselvan</v>
      </c>
    </row>
    <row r="36" spans="9:9" x14ac:dyDescent="0.35">
      <c r="I36" t="str">
        <f t="shared" ref="I26:I36" si="0">TRIM(I21)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Academy Training</dc:creator>
  <cp:lastModifiedBy>Academy Training</cp:lastModifiedBy>
  <dcterms:created xsi:type="dcterms:W3CDTF">2025-02-13T03:51:08Z</dcterms:created>
  <dcterms:modified xsi:type="dcterms:W3CDTF">2025-02-13T07:21:53Z</dcterms:modified>
</cp:coreProperties>
</file>