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.alex\Desktop\"/>
    </mc:Choice>
  </mc:AlternateContent>
  <xr:revisionPtr revIDLastSave="0" documentId="13_ncr:1_{33C76C62-E1B3-4598-BA11-BEFFA6F47C1D}" xr6:coauthVersionLast="47" xr6:coauthVersionMax="47" xr10:uidLastSave="{00000000-0000-0000-0000-000000000000}"/>
  <bookViews>
    <workbookView xWindow="-110" yWindow="-110" windowWidth="19420" windowHeight="10420" xr2:uid="{216D4101-F4F0-4E02-9878-05F6172A66A7}"/>
  </bookViews>
  <sheets>
    <sheet name="Pay Slip" sheetId="1" r:id="rId1"/>
    <sheet name="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B13" i="1"/>
  <c r="B17" i="1" l="1"/>
  <c r="D17" i="1" l="1"/>
  <c r="B18" i="1" s="1"/>
</calcChain>
</file>

<file path=xl/sharedStrings.xml><?xml version="1.0" encoding="utf-8"?>
<sst xmlns="http://schemas.openxmlformats.org/spreadsheetml/2006/main" count="454" uniqueCount="257">
  <si>
    <t>Name</t>
  </si>
  <si>
    <t>Emp No</t>
  </si>
  <si>
    <t>Designation</t>
  </si>
  <si>
    <t>Department</t>
  </si>
  <si>
    <t>Bank Name</t>
  </si>
  <si>
    <t>A/C No</t>
  </si>
  <si>
    <t>Earnings</t>
  </si>
  <si>
    <t>Deductions</t>
  </si>
  <si>
    <t>Basic Salary</t>
  </si>
  <si>
    <t>Special Allowances</t>
  </si>
  <si>
    <t>Gross Salary</t>
  </si>
  <si>
    <t>TDS</t>
  </si>
  <si>
    <t>Total Deductions</t>
  </si>
  <si>
    <t>Net Pay</t>
  </si>
  <si>
    <t>E1004</t>
  </si>
  <si>
    <t>Market Research Executive</t>
  </si>
  <si>
    <t>HRBP</t>
  </si>
  <si>
    <t>ICICI Bank</t>
  </si>
  <si>
    <t>ICI123477</t>
  </si>
  <si>
    <t>Date of Joining</t>
  </si>
  <si>
    <t>Net Salary</t>
  </si>
  <si>
    <t>HRA</t>
  </si>
  <si>
    <t>SA</t>
  </si>
  <si>
    <t>E1001</t>
  </si>
  <si>
    <t>E1002</t>
  </si>
  <si>
    <t>E1003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</si>
  <si>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</si>
  <si>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</si>
  <si>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</si>
  <si>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</si>
  <si>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</si>
  <si>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</si>
  <si>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</si>
  <si>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</si>
  <si>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</si>
  <si>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</si>
  <si>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</si>
  <si>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</si>
  <si>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</si>
  <si>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</si>
  <si>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</si>
  <si>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</si>
  <si>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</si>
  <si>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</si>
  <si>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</si>
  <si>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</si>
  <si>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</si>
  <si>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</si>
  <si>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</si>
  <si>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</si>
  <si>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</si>
  <si>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</si>
  <si>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</si>
  <si>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</si>
  <si>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</si>
  <si>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</si>
  <si>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</si>
  <si>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</si>
  <si>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</si>
  <si>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</si>
  <si>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</si>
  <si>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</si>
  <si>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</si>
  <si>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</si>
  <si>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</si>
  <si>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</si>
  <si>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</si>
  <si>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</si>
  <si>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</si>
  <si>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</si>
  <si>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</si>
  <si>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</si>
  <si>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</si>
  <si>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</si>
  <si>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</si>
  <si>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</si>
  <si>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</si>
  <si>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</si>
  <si>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</si>
  <si>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</si>
  <si>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</si>
  <si>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</si>
  <si>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</si>
  <si>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</si>
  <si>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</si>
  <si>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</si>
  <si>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</si>
  <si>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</si>
  <si>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</si>
  <si>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</si>
  <si>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</si>
  <si>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</si>
  <si>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</si>
  <si>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</si>
  <si>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</si>
  <si>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</si>
  <si>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</si>
  <si>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</si>
  <si>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</si>
  <si>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</si>
  <si>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</si>
  <si>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</si>
  <si>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</si>
  <si>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</si>
  <si>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</si>
  <si>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</si>
  <si>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</si>
  <si>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</si>
  <si>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</si>
  <si>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</si>
  <si>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</si>
  <si>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</si>
  <si>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</si>
  <si>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</si>
  <si>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</si>
  <si>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</si>
  <si>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</si>
  <si>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</si>
  <si>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</si>
  <si>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</si>
  <si>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</si>
  <si>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</si>
  <si>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</si>
  <si>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TOTAL</t>
  </si>
  <si>
    <t>AVERAGE</t>
  </si>
  <si>
    <t>MINIMUM</t>
  </si>
  <si>
    <t>MAXIMUM</t>
  </si>
  <si>
    <t>Date of Birth</t>
  </si>
  <si>
    <t>Age</t>
  </si>
  <si>
    <t>Experience @ VDart</t>
  </si>
  <si>
    <t>Aarav</t>
  </si>
  <si>
    <t>Arjun</t>
  </si>
  <si>
    <t>Aditya</t>
  </si>
  <si>
    <t>Aman</t>
  </si>
  <si>
    <t>Abhishek</t>
  </si>
  <si>
    <t>Aniket</t>
  </si>
  <si>
    <t>Akash</t>
  </si>
  <si>
    <t>Ayush</t>
  </si>
  <si>
    <t>Anirudh</t>
  </si>
  <si>
    <t>Arnav</t>
  </si>
  <si>
    <t>Bharat</t>
  </si>
  <si>
    <t>Bhavesh</t>
  </si>
  <si>
    <t>Chetan</t>
  </si>
  <si>
    <t>Chirag</t>
  </si>
  <si>
    <t>Darshan</t>
  </si>
  <si>
    <t>Devansh</t>
  </si>
  <si>
    <t>Dinesh</t>
  </si>
  <si>
    <t>Dhruv</t>
  </si>
  <si>
    <t>Farhan</t>
  </si>
  <si>
    <t>Faisal</t>
  </si>
  <si>
    <t>Gaurav</t>
  </si>
  <si>
    <t>Gautam</t>
  </si>
  <si>
    <t>Harsh</t>
  </si>
  <si>
    <t>Hemant</t>
  </si>
  <si>
    <t>Hrithik</t>
  </si>
  <si>
    <t>Ishaan</t>
  </si>
  <si>
    <t>Imran</t>
  </si>
  <si>
    <t>Jatin</t>
  </si>
  <si>
    <t>Jayant</t>
  </si>
  <si>
    <t>Kabir</t>
  </si>
  <si>
    <t>Karan</t>
  </si>
  <si>
    <t>Kartik</t>
  </si>
  <si>
    <t>Krish</t>
  </si>
  <si>
    <t>Lakshay</t>
  </si>
  <si>
    <t>Lalit</t>
  </si>
  <si>
    <t>Manish</t>
  </si>
  <si>
    <t>Mohit</t>
  </si>
  <si>
    <t>Nikhil</t>
  </si>
  <si>
    <t>Nishant</t>
  </si>
  <si>
    <t>Omkar</t>
  </si>
  <si>
    <t>Pranav</t>
  </si>
  <si>
    <t>Prashant</t>
  </si>
  <si>
    <t>Rahul</t>
  </si>
  <si>
    <t>Rajesh</t>
  </si>
  <si>
    <t>Rohan</t>
  </si>
  <si>
    <t>Sagar</t>
  </si>
  <si>
    <t>Sameer</t>
  </si>
  <si>
    <t>Siddharth</t>
  </si>
  <si>
    <t>Tarun</t>
  </si>
  <si>
    <t>Varun</t>
  </si>
  <si>
    <t>Aanya</t>
  </si>
  <si>
    <t>Aarohi</t>
  </si>
  <si>
    <t>Aditi</t>
  </si>
  <si>
    <t>Alisha</t>
  </si>
  <si>
    <t>Amrita</t>
  </si>
  <si>
    <t>Ananya</t>
  </si>
  <si>
    <t>Anita</t>
  </si>
  <si>
    <t>Anushka</t>
  </si>
  <si>
    <t>Aparna</t>
  </si>
  <si>
    <t>Archana</t>
  </si>
  <si>
    <t>Bhavana</t>
  </si>
  <si>
    <t>Charu</t>
  </si>
  <si>
    <t>Chitra</t>
  </si>
  <si>
    <t>Deepika</t>
  </si>
  <si>
    <t>Divya</t>
  </si>
  <si>
    <t>Durga</t>
  </si>
  <si>
    <t>Ekta</t>
  </si>
  <si>
    <t>Esha</t>
  </si>
  <si>
    <t>Falguni</t>
  </si>
  <si>
    <t>Farah</t>
  </si>
  <si>
    <t>Gauri</t>
  </si>
  <si>
    <t>Gayatri</t>
  </si>
  <si>
    <t>Hema</t>
  </si>
  <si>
    <t>Heena</t>
  </si>
  <si>
    <t>Isha</t>
  </si>
  <si>
    <t>Ishita</t>
  </si>
  <si>
    <t>Jhanvi</t>
  </si>
  <si>
    <t>Juhi</t>
  </si>
  <si>
    <t>Kajal</t>
  </si>
  <si>
    <t>Kalpana</t>
  </si>
  <si>
    <t>Kamini</t>
  </si>
  <si>
    <t>Karishma</t>
  </si>
  <si>
    <t>Kavya</t>
  </si>
  <si>
    <t>Keerthi</t>
  </si>
  <si>
    <t>Komal</t>
  </si>
  <si>
    <t>Kriti</t>
  </si>
  <si>
    <t>Kusum</t>
  </si>
  <si>
    <t>Lata</t>
  </si>
  <si>
    <t>Lavanya</t>
  </si>
  <si>
    <t>Madhuri</t>
  </si>
  <si>
    <t>Manisha</t>
  </si>
  <si>
    <t>Meera</t>
  </si>
  <si>
    <t>Neha</t>
  </si>
  <si>
    <t>Nidhi</t>
  </si>
  <si>
    <t>Pooja</t>
  </si>
  <si>
    <t>Priya</t>
  </si>
  <si>
    <t>Radhika</t>
  </si>
  <si>
    <t>Riya</t>
  </si>
  <si>
    <t>Sanya</t>
  </si>
  <si>
    <t>Shruti</t>
  </si>
  <si>
    <t>HR Trainee</t>
  </si>
  <si>
    <t>HR Assistant</t>
  </si>
  <si>
    <t>HR Associate</t>
  </si>
  <si>
    <t>HR Coordinator</t>
  </si>
  <si>
    <t>Junior HR Executive</t>
  </si>
  <si>
    <t>HR Executive</t>
  </si>
  <si>
    <t>HR Operations Executive</t>
  </si>
  <si>
    <t>HR Administrator</t>
  </si>
  <si>
    <t>Recruitment Trainee</t>
  </si>
  <si>
    <t>Talent Acquisition Associate</t>
  </si>
  <si>
    <t>Onboarding Coordinator</t>
  </si>
  <si>
    <t>Employee Engagement Executive</t>
  </si>
  <si>
    <t>Payroll Assistant</t>
  </si>
  <si>
    <t>Leave &amp; Attendance Coordinator</t>
  </si>
  <si>
    <t>Compliance Assistant</t>
  </si>
  <si>
    <t>HR Data Entry Executive</t>
  </si>
  <si>
    <t>HR</t>
  </si>
  <si>
    <t>TAG</t>
  </si>
  <si>
    <t>Sarah</t>
  </si>
  <si>
    <t>PT</t>
  </si>
  <si>
    <t>PF</t>
  </si>
  <si>
    <t>ESI</t>
  </si>
  <si>
    <t>Tot Deductions</t>
  </si>
  <si>
    <t>Shruthi</t>
  </si>
  <si>
    <t>Salary Slip for August 25</t>
  </si>
  <si>
    <t>NA</t>
  </si>
  <si>
    <t>XYZ COMPANY
Main Guard Gate, Trichy,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</si>
</sst>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227AC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43" fontId="0" fillId="0" borderId="1" xfId="1" applyFont="1" applyBorder="1"/>
    <xf numFmtId="0" fontId="0" fillId="0" borderId="1" xfId="0" applyBorder="1"/>
    <xf numFmtId="15" fontId="0" fillId="0" borderId="1" xfId="0" applyNumberFormat="1" applyBorder="1"/>
    <xf numFmtId="0" fontId="2" fillId="2" borderId="1" xfId="0" applyFont="1" applyFill="1" applyBorder="1"/>
    <xf numFmtId="43" fontId="2" fillId="2" borderId="1" xfId="1" applyFont="1" applyFill="1" applyBorder="1"/>
    <xf numFmtId="0" fontId="2" fillId="3" borderId="1" xfId="0" applyFont="1" applyFill="1" applyBorder="1"/>
    <xf numFmtId="43" fontId="2" fillId="3" borderId="1" xfId="1" applyFont="1" applyFill="1" applyBorder="1"/>
    <xf numFmtId="9" fontId="2" fillId="3" borderId="1" xfId="1" applyNumberFormat="1" applyFont="1" applyFill="1" applyBorder="1"/>
    <xf numFmtId="1" fontId="2" fillId="3" borderId="1" xfId="1" applyNumberFormat="1" applyFont="1" applyFill="1" applyBorder="1"/>
    <xf numFmtId="43" fontId="2" fillId="2" borderId="1" xfId="1" applyFont="1" applyFill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629920</xdr:colOff>
      <xdr:row>0</xdr:row>
      <xdr:rowOff>10160</xdr:rowOff>
    </xdr:from>
    <xdr:to>
      <xdr:col>3</xdr:col>
      <xdr:colOff>1368407</xdr:colOff>
      <xdr:row>3</xdr:row>
      <xdr:rowOff>151818</xdr:rowOff>
    </xdr:to>
    <xdr:pic>
      <xdr:nvPicPr>
        <xdr:cNvPr id="2" name="Picture 1" descr="Company Logo Vector Art, Icons, and Graphics for Free Download">
          <a:extLst>
            <a:ext uri="{FF2B5EF4-FFF2-40B4-BE49-F238E27FC236}">
              <a16:creationId xmlns:a16="http://schemas.microsoft.com/office/drawing/2014/main" id="{1B7A1921-D785-464C-AABB-335228E5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8080" y="193040"/>
          <a:ext cx="738487" cy="690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2590-45E4-4AB4-8239-1A56A9C08EBC}">
  <dimension ref="A1:D18"/>
  <sheetViews>
    <sheetView tabSelected="1" zoomScale="125" zoomScaleNormal="125" workbookViewId="0">
      <selection activeCell="J4" sqref="J4"/>
    </sheetView>
  </sheetViews>
  <sheetFormatPr defaultRowHeight="14.5" x14ac:dyDescent="0.35"/>
  <cols>
    <col min="1" max="4" width="20.6328125" customWidth="1"/>
  </cols>
  <sheetData>
    <row r="1" spans="1:4" x14ac:dyDescent="0.35">
      <c r="A1" s="16" t="s">
        <v>256</v>
      </c>
      <c r="B1" s="15"/>
      <c r="C1" s="15"/>
    </row>
    <row r="2" spans="1:4" x14ac:dyDescent="0.35">
      <c r="A2" s="15"/>
      <c r="B2" s="15"/>
      <c r="C2" s="15"/>
    </row>
    <row r="3" spans="1:4" x14ac:dyDescent="0.35">
      <c r="A3" s="15"/>
      <c r="B3" s="15"/>
      <c r="C3" s="15"/>
    </row>
    <row r="4" spans="1:4" x14ac:dyDescent="0.35">
      <c r="A4" s="14" t="s">
        <v>254</v>
      </c>
      <c r="B4" s="14"/>
      <c r="C4" s="14"/>
      <c r="D4" s="14"/>
    </row>
    <row r="5" spans="1:4" x14ac:dyDescent="0.35">
      <c r="A5" s="13" t="s">
        <v>0</v>
      </c>
      <c r="B5" s="3" t="s">
        <v>253</v>
      </c>
      <c r="C5" s="13" t="s">
        <v>3</v>
      </c>
      <c r="D5" s="3" t="s">
        <v>16</v>
      </c>
    </row>
    <row r="6" spans="1:4" x14ac:dyDescent="0.35">
      <c r="A6" s="13" t="s">
        <v>1</v>
      </c>
      <c r="B6" s="3" t="s">
        <v>36</v>
      </c>
      <c r="C6" s="13" t="s">
        <v>4</v>
      </c>
      <c r="D6" s="3" t="s">
        <v>17</v>
      </c>
    </row>
    <row r="7" spans="1:4" x14ac:dyDescent="0.35">
      <c r="A7" s="13" t="s">
        <v>127</v>
      </c>
      <c r="B7" s="4">
        <v>36770</v>
      </c>
      <c r="C7" s="13" t="s">
        <v>19</v>
      </c>
      <c r="D7" s="4">
        <v>45700</v>
      </c>
    </row>
    <row r="8" spans="1:4" x14ac:dyDescent="0.35">
      <c r="A8" s="13" t="s">
        <v>128</v>
      </c>
      <c r="B8" s="4"/>
      <c r="C8" s="13" t="s">
        <v>129</v>
      </c>
      <c r="D8" s="4"/>
    </row>
    <row r="9" spans="1:4" x14ac:dyDescent="0.35">
      <c r="A9" s="13" t="s">
        <v>2</v>
      </c>
      <c r="B9" s="3" t="s">
        <v>244</v>
      </c>
      <c r="C9" s="13" t="s">
        <v>5</v>
      </c>
      <c r="D9" s="3" t="s">
        <v>18</v>
      </c>
    </row>
    <row r="10" spans="1:4" x14ac:dyDescent="0.35">
      <c r="A10" s="13"/>
      <c r="B10" s="3"/>
      <c r="C10" s="13"/>
      <c r="D10" s="3"/>
    </row>
    <row r="11" spans="1:4" x14ac:dyDescent="0.35">
      <c r="A11" s="13" t="s">
        <v>6</v>
      </c>
      <c r="B11" s="3"/>
      <c r="C11" s="13" t="s">
        <v>7</v>
      </c>
      <c r="D11" s="3"/>
    </row>
    <row r="12" spans="1:4" x14ac:dyDescent="0.35">
      <c r="A12" s="13" t="s">
        <v>8</v>
      </c>
      <c r="B12" s="2">
        <v>25000</v>
      </c>
      <c r="C12" s="13" t="s">
        <v>250</v>
      </c>
      <c r="D12" s="2">
        <f>B12*12%</f>
        <v>3000</v>
      </c>
    </row>
    <row r="13" spans="1:4" x14ac:dyDescent="0.35">
      <c r="A13" s="13" t="s">
        <v>21</v>
      </c>
      <c r="B13" s="2">
        <f>B12*50%</f>
        <v>12500</v>
      </c>
      <c r="C13" s="13" t="s">
        <v>251</v>
      </c>
      <c r="D13" s="2" t="s">
        <v>255</v>
      </c>
    </row>
    <row r="14" spans="1:4" x14ac:dyDescent="0.35">
      <c r="A14" s="13" t="s">
        <v>9</v>
      </c>
      <c r="B14" s="2">
        <v>7500</v>
      </c>
      <c r="C14" s="13" t="s">
        <v>249</v>
      </c>
      <c r="D14" s="2">
        <v>200</v>
      </c>
    </row>
    <row r="15" spans="1:4" x14ac:dyDescent="0.35">
      <c r="A15" s="13"/>
      <c r="B15" s="2"/>
      <c r="C15" s="13" t="s">
        <v>11</v>
      </c>
      <c r="D15" s="2">
        <v>2000</v>
      </c>
    </row>
    <row r="16" spans="1:4" x14ac:dyDescent="0.35">
      <c r="A16" s="13"/>
      <c r="B16" s="2"/>
      <c r="C16" s="13"/>
      <c r="D16" s="2"/>
    </row>
    <row r="17" spans="1:4" x14ac:dyDescent="0.35">
      <c r="A17" s="13" t="s">
        <v>10</v>
      </c>
      <c r="B17" s="2">
        <f>SUM(B12:B16)</f>
        <v>45000</v>
      </c>
      <c r="C17" s="13" t="s">
        <v>12</v>
      </c>
      <c r="D17" s="2">
        <f>SUM(D12:D16)</f>
        <v>5200</v>
      </c>
    </row>
    <row r="18" spans="1:4" x14ac:dyDescent="0.35">
      <c r="A18" s="13" t="s">
        <v>13</v>
      </c>
      <c r="B18" s="2">
        <f>B17-D17</f>
        <v>39800</v>
      </c>
      <c r="C18" s="3"/>
      <c r="D18" s="2"/>
    </row>
  </sheetData>
  <mergeCells count="2">
    <mergeCell ref="A4:D4"/>
    <mergeCell ref="A1:C3"/>
  </mergeCells>
  <printOptions horizont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773B-83CD-4F82-ABB7-78EF8703D327}">
  <dimension ref="A1:P107"/>
  <sheetViews>
    <sheetView zoomScaleNormal="100" workbookViewId="0"/>
  </sheetViews>
  <sheetFormatPr defaultRowHeight="14.5" x14ac:dyDescent="0.35"/>
  <cols>
    <col min="1" max="1" width="20.453125" customWidth="1"/>
    <col min="3" max="3" width="14.36328125" customWidth="1"/>
    <col min="4" max="4" width="26.7265625" customWidth="1"/>
    <col min="5" max="5" width="13.36328125" customWidth="1"/>
    <col min="6" max="15" width="12.6328125" style="1" customWidth="1"/>
    <col min="16" max="16" width="8.7265625" style="1"/>
  </cols>
  <sheetData>
    <row r="1" spans="1:15" x14ac:dyDescent="0.35">
      <c r="A1" s="7"/>
      <c r="B1" s="7"/>
      <c r="C1" s="7"/>
      <c r="D1" s="7"/>
      <c r="E1" s="7"/>
      <c r="F1" s="8"/>
      <c r="G1" s="9"/>
      <c r="H1" s="10"/>
      <c r="I1" s="8"/>
      <c r="J1" s="9"/>
      <c r="K1" s="10"/>
      <c r="L1" s="10"/>
      <c r="M1" s="10"/>
      <c r="N1" s="8"/>
      <c r="O1" s="8"/>
    </row>
    <row r="2" spans="1:15" x14ac:dyDescent="0.35">
      <c r="A2" s="5" t="s">
        <v>0</v>
      </c>
      <c r="B2" s="5" t="s">
        <v>1</v>
      </c>
      <c r="C2" s="5" t="s">
        <v>19</v>
      </c>
      <c r="D2" s="5" t="s">
        <v>2</v>
      </c>
      <c r="E2" s="5" t="s">
        <v>3</v>
      </c>
      <c r="F2" s="11" t="s">
        <v>8</v>
      </c>
      <c r="G2" s="11" t="s">
        <v>21</v>
      </c>
      <c r="H2" s="11" t="s">
        <v>22</v>
      </c>
      <c r="I2" s="6" t="s">
        <v>10</v>
      </c>
      <c r="J2" s="11" t="s">
        <v>250</v>
      </c>
      <c r="K2" s="11" t="s">
        <v>251</v>
      </c>
      <c r="L2" s="11" t="s">
        <v>249</v>
      </c>
      <c r="M2" s="11" t="s">
        <v>11</v>
      </c>
      <c r="N2" s="6" t="s">
        <v>252</v>
      </c>
      <c r="O2" s="6" t="s">
        <v>20</v>
      </c>
    </row>
    <row r="3" spans="1:15" x14ac:dyDescent="0.35">
      <c r="A3" s="3" t="s">
        <v>248</v>
      </c>
      <c r="B3" s="3" t="s">
        <v>23</v>
      </c>
      <c r="C3" s="4">
        <v>45659</v>
      </c>
      <c r="D3" s="3" t="s">
        <v>230</v>
      </c>
      <c r="E3" s="3" t="s">
        <v>246</v>
      </c>
      <c r="F3" s="2">
        <v>50000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3" t="s">
        <v>130</v>
      </c>
      <c r="B4" s="3" t="s">
        <v>24</v>
      </c>
      <c r="C4" s="4">
        <v>45659</v>
      </c>
      <c r="D4" s="3" t="s">
        <v>231</v>
      </c>
      <c r="E4" s="3" t="s">
        <v>246</v>
      </c>
      <c r="F4" s="2">
        <v>45000</v>
      </c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3" t="s">
        <v>180</v>
      </c>
      <c r="B5" s="3" t="s">
        <v>25</v>
      </c>
      <c r="C5" s="4">
        <v>45659</v>
      </c>
      <c r="D5" s="3" t="s">
        <v>232</v>
      </c>
      <c r="E5" s="3" t="s">
        <v>246</v>
      </c>
      <c r="F5" s="2">
        <v>24000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3" t="s">
        <v>131</v>
      </c>
      <c r="B6" s="3" t="s">
        <v>14</v>
      </c>
      <c r="C6" s="4">
        <v>45659</v>
      </c>
      <c r="D6" s="3" t="s">
        <v>241</v>
      </c>
      <c r="E6" s="3" t="s">
        <v>247</v>
      </c>
      <c r="F6" s="2">
        <v>37500</v>
      </c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3" t="s">
        <v>221</v>
      </c>
      <c r="B7" s="3" t="s">
        <v>26</v>
      </c>
      <c r="C7" s="4">
        <v>45659</v>
      </c>
      <c r="D7" s="3" t="s">
        <v>242</v>
      </c>
      <c r="E7" s="3" t="s">
        <v>16</v>
      </c>
      <c r="F7" s="2">
        <v>38000</v>
      </c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3" t="s">
        <v>132</v>
      </c>
      <c r="B8" s="3" t="s">
        <v>27</v>
      </c>
      <c r="C8" s="4">
        <v>45659</v>
      </c>
      <c r="D8" s="3" t="s">
        <v>243</v>
      </c>
      <c r="E8" s="3" t="s">
        <v>16</v>
      </c>
      <c r="F8" s="2">
        <v>25000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3" t="s">
        <v>225</v>
      </c>
      <c r="B9" s="3" t="s">
        <v>28</v>
      </c>
      <c r="C9" s="4">
        <v>45667</v>
      </c>
      <c r="D9" s="3" t="s">
        <v>236</v>
      </c>
      <c r="E9" s="3" t="s">
        <v>246</v>
      </c>
      <c r="F9" s="2">
        <v>53000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3" t="s">
        <v>133</v>
      </c>
      <c r="B10" s="3" t="s">
        <v>29</v>
      </c>
      <c r="C10" s="4">
        <v>45667</v>
      </c>
      <c r="D10" s="3" t="s">
        <v>237</v>
      </c>
      <c r="E10" s="3" t="s">
        <v>246</v>
      </c>
      <c r="F10" s="2">
        <v>46000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3" t="s">
        <v>226</v>
      </c>
      <c r="B11" s="3" t="s">
        <v>30</v>
      </c>
      <c r="C11" s="4">
        <v>45667</v>
      </c>
      <c r="D11" s="3" t="s">
        <v>238</v>
      </c>
      <c r="E11" s="3" t="s">
        <v>247</v>
      </c>
      <c r="F11" s="2">
        <v>44000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3" t="s">
        <v>134</v>
      </c>
      <c r="B12" s="3" t="s">
        <v>31</v>
      </c>
      <c r="C12" s="4">
        <v>45667</v>
      </c>
      <c r="D12" s="3" t="s">
        <v>239</v>
      </c>
      <c r="E12" s="3" t="s">
        <v>247</v>
      </c>
      <c r="F12" s="2">
        <v>50000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3" t="s">
        <v>227</v>
      </c>
      <c r="B13" s="3" t="s">
        <v>32</v>
      </c>
      <c r="C13" s="4">
        <v>45667</v>
      </c>
      <c r="D13" s="3" t="s">
        <v>240</v>
      </c>
      <c r="E13" s="3" t="s">
        <v>247</v>
      </c>
      <c r="F13" s="2">
        <v>45000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3" t="s">
        <v>135</v>
      </c>
      <c r="B14" s="3" t="s">
        <v>33</v>
      </c>
      <c r="C14" s="4">
        <v>45667</v>
      </c>
      <c r="D14" s="3" t="s">
        <v>233</v>
      </c>
      <c r="E14" s="3" t="s">
        <v>246</v>
      </c>
      <c r="F14" s="2">
        <v>48000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3" t="s">
        <v>215</v>
      </c>
      <c r="B15" s="3" t="s">
        <v>34</v>
      </c>
      <c r="C15" s="4">
        <v>45700</v>
      </c>
      <c r="D15" s="3" t="s">
        <v>234</v>
      </c>
      <c r="E15" s="3" t="s">
        <v>246</v>
      </c>
      <c r="F15" s="2">
        <v>35000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3" t="s">
        <v>136</v>
      </c>
      <c r="B16" s="3" t="s">
        <v>35</v>
      </c>
      <c r="C16" s="4">
        <v>45700</v>
      </c>
      <c r="D16" s="3" t="s">
        <v>235</v>
      </c>
      <c r="E16" s="3" t="s">
        <v>246</v>
      </c>
      <c r="F16" s="2">
        <v>38000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3" t="s">
        <v>229</v>
      </c>
      <c r="B17" s="3" t="s">
        <v>36</v>
      </c>
      <c r="C17" s="4">
        <v>45700</v>
      </c>
      <c r="D17" s="3" t="s">
        <v>244</v>
      </c>
      <c r="E17" s="3" t="s">
        <v>16</v>
      </c>
      <c r="F17" s="2">
        <v>25000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3" t="s">
        <v>137</v>
      </c>
      <c r="B18" s="3" t="s">
        <v>37</v>
      </c>
      <c r="C18" s="4">
        <v>45700</v>
      </c>
      <c r="D18" s="3" t="s">
        <v>245</v>
      </c>
      <c r="E18" s="3" t="s">
        <v>16</v>
      </c>
      <c r="F18" s="2">
        <v>53000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3" t="s">
        <v>228</v>
      </c>
      <c r="B19" s="3" t="s">
        <v>38</v>
      </c>
      <c r="C19" s="4">
        <v>45700</v>
      </c>
      <c r="D19" s="3" t="s">
        <v>15</v>
      </c>
      <c r="E19" s="3" t="s">
        <v>16</v>
      </c>
      <c r="F19" s="2">
        <v>46000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3" t="s">
        <v>138</v>
      </c>
      <c r="B20" s="3" t="s">
        <v>39</v>
      </c>
      <c r="C20" s="4">
        <v>45709</v>
      </c>
      <c r="D20" s="3" t="s">
        <v>230</v>
      </c>
      <c r="E20" s="3" t="s">
        <v>246</v>
      </c>
      <c r="F20" s="2">
        <v>44000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5">
      <c r="A21" s="3" t="s">
        <v>222</v>
      </c>
      <c r="B21" s="3" t="s">
        <v>40</v>
      </c>
      <c r="C21" s="4">
        <v>45709</v>
      </c>
      <c r="D21" s="3" t="s">
        <v>231</v>
      </c>
      <c r="E21" s="3" t="s">
        <v>246</v>
      </c>
      <c r="F21" s="2">
        <v>50000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3" t="s">
        <v>139</v>
      </c>
      <c r="B22" s="3" t="s">
        <v>41</v>
      </c>
      <c r="C22" s="4">
        <v>45709</v>
      </c>
      <c r="D22" s="3" t="s">
        <v>232</v>
      </c>
      <c r="E22" s="3" t="s">
        <v>246</v>
      </c>
      <c r="F22" s="2">
        <v>45000</v>
      </c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s="3" t="s">
        <v>220</v>
      </c>
      <c r="B23" s="3" t="s">
        <v>42</v>
      </c>
      <c r="C23" s="4">
        <v>45709</v>
      </c>
      <c r="D23" s="3" t="s">
        <v>233</v>
      </c>
      <c r="E23" s="3" t="s">
        <v>246</v>
      </c>
      <c r="F23" s="2">
        <v>48000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s="3" t="s">
        <v>140</v>
      </c>
      <c r="B24" s="3" t="s">
        <v>43</v>
      </c>
      <c r="C24" s="4">
        <v>45709</v>
      </c>
      <c r="D24" s="3" t="s">
        <v>241</v>
      </c>
      <c r="E24" s="3" t="s">
        <v>247</v>
      </c>
      <c r="F24" s="2">
        <v>35000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s="3" t="s">
        <v>219</v>
      </c>
      <c r="B25" s="3" t="s">
        <v>44</v>
      </c>
      <c r="C25" s="4">
        <v>45719</v>
      </c>
      <c r="D25" s="3" t="s">
        <v>242</v>
      </c>
      <c r="E25" s="3" t="s">
        <v>16</v>
      </c>
      <c r="F25" s="2">
        <v>38000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5">
      <c r="A26" s="3" t="s">
        <v>141</v>
      </c>
      <c r="B26" s="3" t="s">
        <v>45</v>
      </c>
      <c r="C26" s="4">
        <v>45719</v>
      </c>
      <c r="D26" s="3" t="s">
        <v>243</v>
      </c>
      <c r="E26" s="3" t="s">
        <v>16</v>
      </c>
      <c r="F26" s="2">
        <v>25000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5">
      <c r="A27" s="3" t="s">
        <v>224</v>
      </c>
      <c r="B27" s="3" t="s">
        <v>46</v>
      </c>
      <c r="C27" s="4">
        <v>45719</v>
      </c>
      <c r="D27" s="3" t="s">
        <v>237</v>
      </c>
      <c r="E27" s="3" t="s">
        <v>246</v>
      </c>
      <c r="F27" s="2">
        <v>53000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5">
      <c r="A28" s="3" t="s">
        <v>142</v>
      </c>
      <c r="B28" s="3" t="s">
        <v>47</v>
      </c>
      <c r="C28" s="4">
        <v>45719</v>
      </c>
      <c r="D28" s="3" t="s">
        <v>238</v>
      </c>
      <c r="E28" s="3" t="s">
        <v>247</v>
      </c>
      <c r="F28" s="2">
        <v>46000</v>
      </c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5">
      <c r="A29" s="3" t="s">
        <v>223</v>
      </c>
      <c r="B29" s="3" t="s">
        <v>48</v>
      </c>
      <c r="C29" s="4">
        <v>45719</v>
      </c>
      <c r="D29" s="3" t="s">
        <v>239</v>
      </c>
      <c r="E29" s="3" t="s">
        <v>247</v>
      </c>
      <c r="F29" s="2">
        <v>44000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5">
      <c r="A30" s="3" t="s">
        <v>143</v>
      </c>
      <c r="B30" s="3" t="s">
        <v>49</v>
      </c>
      <c r="C30" s="4">
        <v>45726</v>
      </c>
      <c r="D30" s="3" t="s">
        <v>240</v>
      </c>
      <c r="E30" s="3" t="s">
        <v>247</v>
      </c>
      <c r="F30" s="2">
        <v>50000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5">
      <c r="A31" s="3" t="s">
        <v>218</v>
      </c>
      <c r="B31" s="3" t="s">
        <v>50</v>
      </c>
      <c r="C31" s="4">
        <v>45726</v>
      </c>
      <c r="D31" s="3" t="s">
        <v>241</v>
      </c>
      <c r="E31" s="3" t="s">
        <v>247</v>
      </c>
      <c r="F31" s="2">
        <v>45000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3" t="s">
        <v>144</v>
      </c>
      <c r="B32" s="3" t="s">
        <v>51</v>
      </c>
      <c r="C32" s="4">
        <v>45726</v>
      </c>
      <c r="D32" s="3" t="s">
        <v>242</v>
      </c>
      <c r="E32" s="3" t="s">
        <v>16</v>
      </c>
      <c r="F32" s="2">
        <v>48000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3" t="s">
        <v>213</v>
      </c>
      <c r="B33" s="3" t="s">
        <v>52</v>
      </c>
      <c r="C33" s="4">
        <v>45726</v>
      </c>
      <c r="D33" s="3" t="s">
        <v>243</v>
      </c>
      <c r="E33" s="3" t="s">
        <v>16</v>
      </c>
      <c r="F33" s="2">
        <v>35000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A34" s="3" t="s">
        <v>145</v>
      </c>
      <c r="B34" s="3" t="s">
        <v>53</v>
      </c>
      <c r="C34" s="4">
        <v>45731</v>
      </c>
      <c r="D34" s="3" t="s">
        <v>244</v>
      </c>
      <c r="E34" s="3" t="s">
        <v>16</v>
      </c>
      <c r="F34" s="2">
        <v>38000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5">
      <c r="A35" s="3" t="s">
        <v>217</v>
      </c>
      <c r="B35" s="3" t="s">
        <v>54</v>
      </c>
      <c r="C35" s="4">
        <v>45731</v>
      </c>
      <c r="D35" s="3" t="s">
        <v>245</v>
      </c>
      <c r="E35" s="3" t="s">
        <v>16</v>
      </c>
      <c r="F35" s="2">
        <v>25000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5">
      <c r="A36" s="3" t="s">
        <v>146</v>
      </c>
      <c r="B36" s="3" t="s">
        <v>55</v>
      </c>
      <c r="C36" s="4">
        <v>45731</v>
      </c>
      <c r="D36" s="3" t="s">
        <v>15</v>
      </c>
      <c r="E36" s="3" t="s">
        <v>16</v>
      </c>
      <c r="F36" s="2">
        <v>53000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5">
      <c r="A37" s="3" t="s">
        <v>207</v>
      </c>
      <c r="B37" s="3" t="s">
        <v>56</v>
      </c>
      <c r="C37" s="4">
        <v>45731</v>
      </c>
      <c r="D37" s="3" t="s">
        <v>230</v>
      </c>
      <c r="E37" s="3" t="s">
        <v>246</v>
      </c>
      <c r="F37" s="2">
        <v>46000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5">
      <c r="A38" s="3" t="s">
        <v>147</v>
      </c>
      <c r="B38" s="3" t="s">
        <v>57</v>
      </c>
      <c r="C38" s="4">
        <v>45736</v>
      </c>
      <c r="D38" s="3" t="s">
        <v>231</v>
      </c>
      <c r="E38" s="3" t="s">
        <v>246</v>
      </c>
      <c r="F38" s="2">
        <v>44000</v>
      </c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5">
      <c r="A39" s="3" t="s">
        <v>214</v>
      </c>
      <c r="B39" s="3" t="s">
        <v>58</v>
      </c>
      <c r="C39" s="4">
        <v>45736</v>
      </c>
      <c r="D39" s="3" t="s">
        <v>243</v>
      </c>
      <c r="E39" s="3" t="s">
        <v>16</v>
      </c>
      <c r="F39" s="2">
        <v>50000</v>
      </c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s="3" t="s">
        <v>148</v>
      </c>
      <c r="B40" s="3" t="s">
        <v>59</v>
      </c>
      <c r="C40" s="4">
        <v>45736</v>
      </c>
      <c r="D40" s="3" t="s">
        <v>244</v>
      </c>
      <c r="E40" s="3" t="s">
        <v>16</v>
      </c>
      <c r="F40" s="2">
        <v>45000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5">
      <c r="A41" s="3" t="s">
        <v>211</v>
      </c>
      <c r="B41" s="3" t="s">
        <v>60</v>
      </c>
      <c r="C41" s="4">
        <v>45736</v>
      </c>
      <c r="D41" s="3" t="s">
        <v>245</v>
      </c>
      <c r="E41" s="3" t="s">
        <v>16</v>
      </c>
      <c r="F41" s="2">
        <v>48000</v>
      </c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5">
      <c r="A42" s="3" t="s">
        <v>149</v>
      </c>
      <c r="B42" s="3" t="s">
        <v>61</v>
      </c>
      <c r="C42" s="4">
        <v>45752</v>
      </c>
      <c r="D42" s="3" t="s">
        <v>235</v>
      </c>
      <c r="E42" s="3" t="s">
        <v>246</v>
      </c>
      <c r="F42" s="2">
        <v>35000</v>
      </c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3" t="s">
        <v>205</v>
      </c>
      <c r="B43" s="3" t="s">
        <v>62</v>
      </c>
      <c r="C43" s="4">
        <v>45752</v>
      </c>
      <c r="D43" s="3" t="s">
        <v>236</v>
      </c>
      <c r="E43" s="3" t="s">
        <v>246</v>
      </c>
      <c r="F43" s="2">
        <v>37500</v>
      </c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5">
      <c r="A44" s="3" t="s">
        <v>150</v>
      </c>
      <c r="B44" s="3" t="s">
        <v>63</v>
      </c>
      <c r="C44" s="4">
        <v>45752</v>
      </c>
      <c r="D44" s="3" t="s">
        <v>237</v>
      </c>
      <c r="E44" s="3" t="s">
        <v>246</v>
      </c>
      <c r="F44" s="2">
        <v>25000</v>
      </c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3" t="s">
        <v>209</v>
      </c>
      <c r="B45" s="3" t="s">
        <v>64</v>
      </c>
      <c r="C45" s="4">
        <v>45752</v>
      </c>
      <c r="D45" s="3" t="s">
        <v>238</v>
      </c>
      <c r="E45" s="3" t="s">
        <v>247</v>
      </c>
      <c r="F45" s="2">
        <v>53000</v>
      </c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5">
      <c r="A46" s="3" t="s">
        <v>151</v>
      </c>
      <c r="B46" s="3" t="s">
        <v>65</v>
      </c>
      <c r="C46" s="4">
        <v>45759</v>
      </c>
      <c r="D46" s="3" t="s">
        <v>239</v>
      </c>
      <c r="E46" s="3" t="s">
        <v>247</v>
      </c>
      <c r="F46" s="2">
        <v>46000</v>
      </c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5">
      <c r="A47" s="3" t="s">
        <v>210</v>
      </c>
      <c r="B47" s="3" t="s">
        <v>66</v>
      </c>
      <c r="C47" s="4">
        <v>45759</v>
      </c>
      <c r="D47" s="3" t="s">
        <v>240</v>
      </c>
      <c r="E47" s="3" t="s">
        <v>247</v>
      </c>
      <c r="F47" s="2">
        <v>44000</v>
      </c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5">
      <c r="A48" s="3" t="s">
        <v>152</v>
      </c>
      <c r="B48" s="3" t="s">
        <v>67</v>
      </c>
      <c r="C48" s="4">
        <v>45759</v>
      </c>
      <c r="D48" s="3" t="s">
        <v>241</v>
      </c>
      <c r="E48" s="3" t="s">
        <v>247</v>
      </c>
      <c r="F48" s="2">
        <v>50000</v>
      </c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5">
      <c r="A49" s="3" t="s">
        <v>208</v>
      </c>
      <c r="B49" s="3" t="s">
        <v>68</v>
      </c>
      <c r="C49" s="4">
        <v>45759</v>
      </c>
      <c r="D49" s="3" t="s">
        <v>242</v>
      </c>
      <c r="E49" s="3" t="s">
        <v>16</v>
      </c>
      <c r="F49" s="2">
        <v>45000</v>
      </c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5">
      <c r="A50" s="3" t="s">
        <v>153</v>
      </c>
      <c r="B50" s="3" t="s">
        <v>69</v>
      </c>
      <c r="C50" s="4">
        <v>45759</v>
      </c>
      <c r="D50" s="3" t="s">
        <v>243</v>
      </c>
      <c r="E50" s="3" t="s">
        <v>16</v>
      </c>
      <c r="F50" s="2">
        <v>48000</v>
      </c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5">
      <c r="A51" s="3" t="s">
        <v>216</v>
      </c>
      <c r="B51" s="3" t="s">
        <v>70</v>
      </c>
      <c r="C51" s="4">
        <v>45769</v>
      </c>
      <c r="D51" s="3" t="s">
        <v>244</v>
      </c>
      <c r="E51" s="3" t="s">
        <v>16</v>
      </c>
      <c r="F51" s="2">
        <v>35000</v>
      </c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5">
      <c r="A52" s="3" t="s">
        <v>154</v>
      </c>
      <c r="B52" s="3" t="s">
        <v>71</v>
      </c>
      <c r="C52" s="4">
        <v>45769</v>
      </c>
      <c r="D52" s="3" t="s">
        <v>245</v>
      </c>
      <c r="E52" s="3" t="s">
        <v>16</v>
      </c>
      <c r="F52" s="2">
        <v>38000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5">
      <c r="A53" s="3" t="s">
        <v>212</v>
      </c>
      <c r="B53" s="3" t="s">
        <v>72</v>
      </c>
      <c r="C53" s="4">
        <v>45769</v>
      </c>
      <c r="D53" s="3" t="s">
        <v>15</v>
      </c>
      <c r="E53" s="3" t="s">
        <v>16</v>
      </c>
      <c r="F53" s="2">
        <v>25000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5">
      <c r="A54" s="3" t="s">
        <v>155</v>
      </c>
      <c r="B54" s="3" t="s">
        <v>73</v>
      </c>
      <c r="C54" s="4">
        <v>45769</v>
      </c>
      <c r="D54" s="3" t="s">
        <v>230</v>
      </c>
      <c r="E54" s="3" t="s">
        <v>246</v>
      </c>
      <c r="F54" s="2">
        <v>53000</v>
      </c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5">
      <c r="A55" s="3" t="s">
        <v>204</v>
      </c>
      <c r="B55" s="3" t="s">
        <v>74</v>
      </c>
      <c r="C55" s="4">
        <v>45783</v>
      </c>
      <c r="D55" s="3" t="s">
        <v>231</v>
      </c>
      <c r="E55" s="3" t="s">
        <v>246</v>
      </c>
      <c r="F55" s="2">
        <v>46000</v>
      </c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5">
      <c r="A56" s="3" t="s">
        <v>156</v>
      </c>
      <c r="B56" s="3" t="s">
        <v>75</v>
      </c>
      <c r="C56" s="4">
        <v>45783</v>
      </c>
      <c r="D56" s="3" t="s">
        <v>232</v>
      </c>
      <c r="E56" s="3" t="s">
        <v>246</v>
      </c>
      <c r="F56" s="2">
        <v>44000</v>
      </c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5">
      <c r="A57" s="3" t="s">
        <v>199</v>
      </c>
      <c r="B57" s="3" t="s">
        <v>76</v>
      </c>
      <c r="C57" s="4">
        <v>45783</v>
      </c>
      <c r="D57" s="3" t="s">
        <v>233</v>
      </c>
      <c r="E57" s="3" t="s">
        <v>246</v>
      </c>
      <c r="F57" s="2">
        <v>49000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5">
      <c r="A58" s="3" t="s">
        <v>157</v>
      </c>
      <c r="B58" s="3" t="s">
        <v>77</v>
      </c>
      <c r="C58" s="4">
        <v>45783</v>
      </c>
      <c r="D58" s="3" t="s">
        <v>239</v>
      </c>
      <c r="E58" s="3" t="s">
        <v>247</v>
      </c>
      <c r="F58" s="2">
        <v>45000</v>
      </c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5">
      <c r="A59" s="3" t="s">
        <v>202</v>
      </c>
      <c r="B59" s="3" t="s">
        <v>78</v>
      </c>
      <c r="C59" s="4">
        <v>45783</v>
      </c>
      <c r="D59" s="3" t="s">
        <v>240</v>
      </c>
      <c r="E59" s="3" t="s">
        <v>247</v>
      </c>
      <c r="F59" s="2">
        <v>48000</v>
      </c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5">
      <c r="A60" s="3" t="s">
        <v>158</v>
      </c>
      <c r="B60" s="3" t="s">
        <v>79</v>
      </c>
      <c r="C60" s="4">
        <v>45791</v>
      </c>
      <c r="D60" s="3" t="s">
        <v>241</v>
      </c>
      <c r="E60" s="3" t="s">
        <v>247</v>
      </c>
      <c r="F60" s="2">
        <v>35000</v>
      </c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5">
      <c r="A61" s="3" t="s">
        <v>181</v>
      </c>
      <c r="B61" s="3" t="s">
        <v>80</v>
      </c>
      <c r="C61" s="4">
        <v>45791</v>
      </c>
      <c r="D61" s="3" t="s">
        <v>237</v>
      </c>
      <c r="E61" s="3" t="s">
        <v>246</v>
      </c>
      <c r="F61" s="2">
        <v>38000</v>
      </c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5">
      <c r="A62" s="3" t="s">
        <v>159</v>
      </c>
      <c r="B62" s="3" t="s">
        <v>81</v>
      </c>
      <c r="C62" s="4">
        <v>45791</v>
      </c>
      <c r="D62" s="3" t="s">
        <v>238</v>
      </c>
      <c r="E62" s="3" t="s">
        <v>247</v>
      </c>
      <c r="F62" s="2">
        <v>25000</v>
      </c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5">
      <c r="A63" s="3" t="s">
        <v>201</v>
      </c>
      <c r="B63" s="3" t="s">
        <v>82</v>
      </c>
      <c r="C63" s="4">
        <v>45791</v>
      </c>
      <c r="D63" s="3" t="s">
        <v>232</v>
      </c>
      <c r="E63" s="3" t="s">
        <v>246</v>
      </c>
      <c r="F63" s="2">
        <v>53000</v>
      </c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5">
      <c r="A64" s="3" t="s">
        <v>160</v>
      </c>
      <c r="B64" s="3" t="s">
        <v>83</v>
      </c>
      <c r="C64" s="4">
        <v>45791</v>
      </c>
      <c r="D64" s="3" t="s">
        <v>233</v>
      </c>
      <c r="E64" s="3" t="s">
        <v>246</v>
      </c>
      <c r="F64" s="2">
        <v>46000</v>
      </c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5">
      <c r="A65" s="3" t="s">
        <v>206</v>
      </c>
      <c r="B65" s="3" t="s">
        <v>84</v>
      </c>
      <c r="C65" s="4">
        <v>45798</v>
      </c>
      <c r="D65" s="3" t="s">
        <v>234</v>
      </c>
      <c r="E65" s="3" t="s">
        <v>246</v>
      </c>
      <c r="F65" s="2">
        <v>44000</v>
      </c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5">
      <c r="A66" s="3" t="s">
        <v>161</v>
      </c>
      <c r="B66" s="3" t="s">
        <v>85</v>
      </c>
      <c r="C66" s="4">
        <v>45798</v>
      </c>
      <c r="D66" s="3" t="s">
        <v>242</v>
      </c>
      <c r="E66" s="3" t="s">
        <v>16</v>
      </c>
      <c r="F66" s="2">
        <v>50000</v>
      </c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5">
      <c r="A67" s="3" t="s">
        <v>203</v>
      </c>
      <c r="B67" s="3" t="s">
        <v>86</v>
      </c>
      <c r="C67" s="4">
        <v>45798</v>
      </c>
      <c r="D67" s="3" t="s">
        <v>234</v>
      </c>
      <c r="E67" s="3" t="s">
        <v>246</v>
      </c>
      <c r="F67" s="2">
        <v>45000</v>
      </c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5">
      <c r="A68" s="3" t="s">
        <v>162</v>
      </c>
      <c r="B68" s="3" t="s">
        <v>87</v>
      </c>
      <c r="C68" s="4">
        <v>45798</v>
      </c>
      <c r="D68" s="3" t="s">
        <v>235</v>
      </c>
      <c r="E68" s="3" t="s">
        <v>246</v>
      </c>
      <c r="F68" s="2">
        <v>48000</v>
      </c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5">
      <c r="A69" s="3" t="s">
        <v>200</v>
      </c>
      <c r="B69" s="3" t="s">
        <v>88</v>
      </c>
      <c r="C69" s="4">
        <v>45798</v>
      </c>
      <c r="D69" s="3" t="s">
        <v>236</v>
      </c>
      <c r="E69" s="3" t="s">
        <v>246</v>
      </c>
      <c r="F69" s="2">
        <v>35000</v>
      </c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5">
      <c r="A70" s="3" t="s">
        <v>163</v>
      </c>
      <c r="B70" s="3" t="s">
        <v>89</v>
      </c>
      <c r="C70" s="4">
        <v>45815</v>
      </c>
      <c r="D70" s="3" t="s">
        <v>15</v>
      </c>
      <c r="E70" s="3" t="s">
        <v>16</v>
      </c>
      <c r="F70" s="2">
        <v>38000</v>
      </c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5">
      <c r="A71" s="3" t="s">
        <v>198</v>
      </c>
      <c r="B71" s="3" t="s">
        <v>90</v>
      </c>
      <c r="C71" s="4">
        <v>45815</v>
      </c>
      <c r="D71" s="3" t="s">
        <v>230</v>
      </c>
      <c r="E71" s="3" t="s">
        <v>246</v>
      </c>
      <c r="F71" s="2">
        <v>25000</v>
      </c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5">
      <c r="A72" s="3" t="s">
        <v>164</v>
      </c>
      <c r="B72" s="3" t="s">
        <v>91</v>
      </c>
      <c r="C72" s="4">
        <v>45815</v>
      </c>
      <c r="D72" s="3" t="s">
        <v>231</v>
      </c>
      <c r="E72" s="3" t="s">
        <v>246</v>
      </c>
      <c r="F72" s="2">
        <v>53000</v>
      </c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5">
      <c r="A73" s="3" t="s">
        <v>197</v>
      </c>
      <c r="B73" s="3" t="s">
        <v>92</v>
      </c>
      <c r="C73" s="4">
        <v>45815</v>
      </c>
      <c r="D73" s="3" t="s">
        <v>232</v>
      </c>
      <c r="E73" s="3" t="s">
        <v>246</v>
      </c>
      <c r="F73" s="2">
        <v>46000</v>
      </c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5">
      <c r="A74" s="3" t="s">
        <v>165</v>
      </c>
      <c r="B74" s="3" t="s">
        <v>93</v>
      </c>
      <c r="C74" s="4">
        <v>45815</v>
      </c>
      <c r="D74" s="3" t="s">
        <v>233</v>
      </c>
      <c r="E74" s="3" t="s">
        <v>246</v>
      </c>
      <c r="F74" s="2">
        <v>44000</v>
      </c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5">
      <c r="A75" s="3" t="s">
        <v>196</v>
      </c>
      <c r="B75" s="3" t="s">
        <v>94</v>
      </c>
      <c r="C75" s="4">
        <v>45822</v>
      </c>
      <c r="D75" s="3" t="s">
        <v>234</v>
      </c>
      <c r="E75" s="3" t="s">
        <v>246</v>
      </c>
      <c r="F75" s="2">
        <v>50000</v>
      </c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5">
      <c r="A76" s="3" t="s">
        <v>166</v>
      </c>
      <c r="B76" s="3" t="s">
        <v>95</v>
      </c>
      <c r="C76" s="4">
        <v>45822</v>
      </c>
      <c r="D76" s="3" t="s">
        <v>235</v>
      </c>
      <c r="E76" s="3" t="s">
        <v>246</v>
      </c>
      <c r="F76" s="2">
        <v>45000</v>
      </c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5">
      <c r="A77" s="3" t="s">
        <v>195</v>
      </c>
      <c r="B77" s="3" t="s">
        <v>96</v>
      </c>
      <c r="C77" s="4">
        <v>45822</v>
      </c>
      <c r="D77" s="3" t="s">
        <v>236</v>
      </c>
      <c r="E77" s="3" t="s">
        <v>246</v>
      </c>
      <c r="F77" s="2">
        <v>48000</v>
      </c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5">
      <c r="A78" s="3" t="s">
        <v>167</v>
      </c>
      <c r="B78" s="3" t="s">
        <v>97</v>
      </c>
      <c r="C78" s="4">
        <v>45822</v>
      </c>
      <c r="D78" s="3" t="s">
        <v>237</v>
      </c>
      <c r="E78" s="3" t="s">
        <v>246</v>
      </c>
      <c r="F78" s="2">
        <v>35000</v>
      </c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5">
      <c r="A79" s="3" t="s">
        <v>194</v>
      </c>
      <c r="B79" s="3" t="s">
        <v>98</v>
      </c>
      <c r="C79" s="4">
        <v>45822</v>
      </c>
      <c r="D79" s="3" t="s">
        <v>238</v>
      </c>
      <c r="E79" s="3" t="s">
        <v>247</v>
      </c>
      <c r="F79" s="2">
        <v>38000</v>
      </c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5">
      <c r="A80" s="3" t="s">
        <v>168</v>
      </c>
      <c r="B80" s="3" t="s">
        <v>99</v>
      </c>
      <c r="C80" s="4">
        <v>45822</v>
      </c>
      <c r="D80" s="3" t="s">
        <v>239</v>
      </c>
      <c r="E80" s="3" t="s">
        <v>247</v>
      </c>
      <c r="F80" s="2">
        <v>25000</v>
      </c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5">
      <c r="A81" s="3" t="s">
        <v>193</v>
      </c>
      <c r="B81" s="3" t="s">
        <v>100</v>
      </c>
      <c r="C81" s="4">
        <v>45829</v>
      </c>
      <c r="D81" s="3" t="s">
        <v>240</v>
      </c>
      <c r="E81" s="3" t="s">
        <v>247</v>
      </c>
      <c r="F81" s="2">
        <v>53000</v>
      </c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5">
      <c r="A82" s="3" t="s">
        <v>169</v>
      </c>
      <c r="B82" s="3" t="s">
        <v>101</v>
      </c>
      <c r="C82" s="4">
        <v>45829</v>
      </c>
      <c r="D82" s="3" t="s">
        <v>241</v>
      </c>
      <c r="E82" s="3" t="s">
        <v>247</v>
      </c>
      <c r="F82" s="2">
        <v>46000</v>
      </c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5">
      <c r="A83" s="3" t="s">
        <v>192</v>
      </c>
      <c r="B83" s="3" t="s">
        <v>102</v>
      </c>
      <c r="C83" s="4">
        <v>45829</v>
      </c>
      <c r="D83" s="3" t="s">
        <v>242</v>
      </c>
      <c r="E83" s="3" t="s">
        <v>16</v>
      </c>
      <c r="F83" s="2">
        <v>44000</v>
      </c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5">
      <c r="A84" s="3" t="s">
        <v>170</v>
      </c>
      <c r="B84" s="3" t="s">
        <v>103</v>
      </c>
      <c r="C84" s="4">
        <v>45829</v>
      </c>
      <c r="D84" s="3" t="s">
        <v>232</v>
      </c>
      <c r="E84" s="3" t="s">
        <v>246</v>
      </c>
      <c r="F84" s="2">
        <v>50000</v>
      </c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5">
      <c r="A85" s="3" t="s">
        <v>190</v>
      </c>
      <c r="B85" s="3" t="s">
        <v>104</v>
      </c>
      <c r="C85" s="4">
        <v>45843</v>
      </c>
      <c r="D85" s="3" t="s">
        <v>233</v>
      </c>
      <c r="E85" s="3" t="s">
        <v>246</v>
      </c>
      <c r="F85" s="2">
        <v>45000</v>
      </c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5">
      <c r="A86" s="3" t="s">
        <v>171</v>
      </c>
      <c r="B86" s="3" t="s">
        <v>105</v>
      </c>
      <c r="C86" s="4">
        <v>45843</v>
      </c>
      <c r="D86" s="3" t="s">
        <v>234</v>
      </c>
      <c r="E86" s="3" t="s">
        <v>246</v>
      </c>
      <c r="F86" s="2">
        <v>48000</v>
      </c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5">
      <c r="A87" s="3" t="s">
        <v>189</v>
      </c>
      <c r="B87" s="3" t="s">
        <v>106</v>
      </c>
      <c r="C87" s="4">
        <v>45843</v>
      </c>
      <c r="D87" s="3" t="s">
        <v>15</v>
      </c>
      <c r="E87" s="3" t="s">
        <v>16</v>
      </c>
      <c r="F87" s="2">
        <v>35000</v>
      </c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5">
      <c r="A88" s="3" t="s">
        <v>172</v>
      </c>
      <c r="B88" s="3" t="s">
        <v>107</v>
      </c>
      <c r="C88" s="4">
        <v>45848</v>
      </c>
      <c r="D88" s="3" t="s">
        <v>230</v>
      </c>
      <c r="E88" s="3" t="s">
        <v>246</v>
      </c>
      <c r="F88" s="2">
        <v>38000</v>
      </c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5">
      <c r="A89" s="3" t="s">
        <v>183</v>
      </c>
      <c r="B89" s="3" t="s">
        <v>108</v>
      </c>
      <c r="C89" s="4">
        <v>45848</v>
      </c>
      <c r="D89" s="3" t="s">
        <v>231</v>
      </c>
      <c r="E89" s="3" t="s">
        <v>246</v>
      </c>
      <c r="F89" s="2">
        <v>25000</v>
      </c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5">
      <c r="A90" s="3" t="s">
        <v>173</v>
      </c>
      <c r="B90" s="3" t="s">
        <v>109</v>
      </c>
      <c r="C90" s="4">
        <v>45848</v>
      </c>
      <c r="D90" s="3" t="s">
        <v>243</v>
      </c>
      <c r="E90" s="3" t="s">
        <v>16</v>
      </c>
      <c r="F90" s="2">
        <v>53000</v>
      </c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5">
      <c r="A91" s="3" t="s">
        <v>184</v>
      </c>
      <c r="B91" s="3" t="s">
        <v>110</v>
      </c>
      <c r="C91" s="4">
        <v>45848</v>
      </c>
      <c r="D91" s="3" t="s">
        <v>244</v>
      </c>
      <c r="E91" s="3" t="s">
        <v>16</v>
      </c>
      <c r="F91" s="2">
        <v>46000</v>
      </c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5">
      <c r="A92" s="3" t="s">
        <v>174</v>
      </c>
      <c r="B92" s="3" t="s">
        <v>111</v>
      </c>
      <c r="C92" s="4">
        <v>45848</v>
      </c>
      <c r="D92" s="3" t="s">
        <v>245</v>
      </c>
      <c r="E92" s="3" t="s">
        <v>16</v>
      </c>
      <c r="F92" s="2">
        <v>44000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5">
      <c r="A93" s="3" t="s">
        <v>185</v>
      </c>
      <c r="B93" s="3" t="s">
        <v>112</v>
      </c>
      <c r="C93" s="4">
        <v>45853</v>
      </c>
      <c r="D93" s="3" t="s">
        <v>235</v>
      </c>
      <c r="E93" s="3" t="s">
        <v>246</v>
      </c>
      <c r="F93" s="2">
        <v>50000</v>
      </c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5">
      <c r="A94" s="3" t="s">
        <v>175</v>
      </c>
      <c r="B94" s="3" t="s">
        <v>113</v>
      </c>
      <c r="C94" s="4">
        <v>45853</v>
      </c>
      <c r="D94" s="3" t="s">
        <v>236</v>
      </c>
      <c r="E94" s="3" t="s">
        <v>246</v>
      </c>
      <c r="F94" s="2">
        <v>45000</v>
      </c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5">
      <c r="A95" s="3" t="s">
        <v>182</v>
      </c>
      <c r="B95" s="3" t="s">
        <v>114</v>
      </c>
      <c r="C95" s="4">
        <v>45853</v>
      </c>
      <c r="D95" s="3" t="s">
        <v>237</v>
      </c>
      <c r="E95" s="3" t="s">
        <v>246</v>
      </c>
      <c r="F95" s="2">
        <v>48000</v>
      </c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5">
      <c r="A96" s="3" t="s">
        <v>176</v>
      </c>
      <c r="B96" s="3" t="s">
        <v>115</v>
      </c>
      <c r="C96" s="4">
        <v>45853</v>
      </c>
      <c r="D96" s="3" t="s">
        <v>238</v>
      </c>
      <c r="E96" s="3" t="s">
        <v>247</v>
      </c>
      <c r="F96" s="2">
        <v>35000</v>
      </c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5">
      <c r="A97" s="3" t="s">
        <v>191</v>
      </c>
      <c r="B97" s="3" t="s">
        <v>116</v>
      </c>
      <c r="C97" s="4">
        <v>45879</v>
      </c>
      <c r="D97" s="3" t="s">
        <v>239</v>
      </c>
      <c r="E97" s="3" t="s">
        <v>247</v>
      </c>
      <c r="F97" s="2">
        <v>38000</v>
      </c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5">
      <c r="A98" s="3" t="s">
        <v>177</v>
      </c>
      <c r="B98" s="3" t="s">
        <v>117</v>
      </c>
      <c r="C98" s="4">
        <v>45879</v>
      </c>
      <c r="D98" s="3" t="s">
        <v>240</v>
      </c>
      <c r="E98" s="3" t="s">
        <v>247</v>
      </c>
      <c r="F98" s="2">
        <v>25000</v>
      </c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5">
      <c r="A99" s="3" t="s">
        <v>186</v>
      </c>
      <c r="B99" s="3" t="s">
        <v>118</v>
      </c>
      <c r="C99" s="4">
        <v>45879</v>
      </c>
      <c r="D99" s="3" t="s">
        <v>234</v>
      </c>
      <c r="E99" s="3" t="s">
        <v>246</v>
      </c>
      <c r="F99" s="2">
        <v>53000</v>
      </c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5">
      <c r="A100" s="3" t="s">
        <v>178</v>
      </c>
      <c r="B100" s="3" t="s">
        <v>119</v>
      </c>
      <c r="C100" s="4">
        <v>45879</v>
      </c>
      <c r="D100" s="3" t="s">
        <v>235</v>
      </c>
      <c r="E100" s="3" t="s">
        <v>246</v>
      </c>
      <c r="F100" s="2">
        <v>46000</v>
      </c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5">
      <c r="A101" s="3" t="s">
        <v>187</v>
      </c>
      <c r="B101" s="3" t="s">
        <v>120</v>
      </c>
      <c r="C101" s="4">
        <v>45889</v>
      </c>
      <c r="D101" s="3" t="s">
        <v>236</v>
      </c>
      <c r="E101" s="3" t="s">
        <v>246</v>
      </c>
      <c r="F101" s="2">
        <v>44000</v>
      </c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5">
      <c r="A102" s="3" t="s">
        <v>179</v>
      </c>
      <c r="B102" s="3" t="s">
        <v>121</v>
      </c>
      <c r="C102" s="4">
        <v>45889</v>
      </c>
      <c r="D102" s="3" t="s">
        <v>244</v>
      </c>
      <c r="E102" s="3" t="s">
        <v>16</v>
      </c>
      <c r="F102" s="2">
        <v>46000</v>
      </c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5">
      <c r="A103" s="3" t="s">
        <v>188</v>
      </c>
      <c r="B103" s="3" t="s">
        <v>122</v>
      </c>
      <c r="C103" s="4">
        <v>45889</v>
      </c>
      <c r="D103" s="3" t="s">
        <v>245</v>
      </c>
      <c r="E103" s="3" t="s">
        <v>16</v>
      </c>
      <c r="F103" s="2">
        <v>44000</v>
      </c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5">
      <c r="A104" s="12"/>
      <c r="B104" s="12"/>
      <c r="C104" s="12"/>
      <c r="D104" s="12"/>
      <c r="E104" s="5" t="s">
        <v>123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35">
      <c r="A105" s="12"/>
      <c r="B105" s="12"/>
      <c r="C105" s="12"/>
      <c r="D105" s="12"/>
      <c r="E105" s="5" t="s">
        <v>124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35">
      <c r="A106" s="12"/>
      <c r="B106" s="12"/>
      <c r="C106" s="12"/>
      <c r="D106" s="12"/>
      <c r="E106" s="5" t="s">
        <v>125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35">
      <c r="A107" s="12"/>
      <c r="B107" s="12"/>
      <c r="C107" s="12"/>
      <c r="D107" s="12"/>
      <c r="E107" s="5" t="s">
        <v>126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Slip</vt:lpstr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Alex</dc:creator>
  <cp:lastModifiedBy>Derrick Alex</cp:lastModifiedBy>
  <cp:lastPrinted>2025-09-08T09:13:13Z</cp:lastPrinted>
  <dcterms:created xsi:type="dcterms:W3CDTF">2025-09-03T10:41:55Z</dcterms:created>
  <dcterms:modified xsi:type="dcterms:W3CDTF">2025-09-08T09:15:29Z</dcterms:modified>
</cp:coreProperties>
</file>